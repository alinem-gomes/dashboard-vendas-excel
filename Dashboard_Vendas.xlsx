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gome\OneDrive\Desktop\Tabelas teste\Vendas\"/>
    </mc:Choice>
  </mc:AlternateContent>
  <xr:revisionPtr revIDLastSave="0" documentId="13_ncr:1_{CB7942BF-C622-4391-8B7E-3195DEA7AA08}" xr6:coauthVersionLast="47" xr6:coauthVersionMax="47" xr10:uidLastSave="{00000000-0000-0000-0000-000000000000}"/>
  <bookViews>
    <workbookView xWindow="-108" yWindow="-108" windowWidth="23256" windowHeight="12456" activeTab="1" xr2:uid="{12C430B5-43B7-4794-B56F-6B1EE6AA344A}"/>
  </bookViews>
  <sheets>
    <sheet name="Planilha2" sheetId="2" r:id="rId1"/>
    <sheet name="Dashboard" sheetId="3" r:id="rId2"/>
    <sheet name="Planilha4" sheetId="4" r:id="rId3"/>
    <sheet name="Planilha5" sheetId="5" r:id="rId4"/>
    <sheet name="Planilha6" sheetId="6" r:id="rId5"/>
    <sheet name="Planilha7" sheetId="7" r:id="rId6"/>
    <sheet name="Base" sheetId="1" r:id="rId7"/>
  </sheets>
  <definedNames>
    <definedName name="NativeTimeline_DATA">#N/A</definedName>
    <definedName name="SegmentaçãodeDados_PRODUTO">#N/A</definedName>
    <definedName name="SegmentaçãodeDados_REGIÃO">#N/A</definedName>
    <definedName name="SegmentaçãodeDados_VENDEDOR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6" i="1" l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7" i="3"/>
  <c r="I4" i="3"/>
  <c r="B4" i="3"/>
  <c r="H5" i="3" l="1"/>
</calcChain>
</file>

<file path=xl/sharedStrings.xml><?xml version="1.0" encoding="utf-8"?>
<sst xmlns="http://schemas.openxmlformats.org/spreadsheetml/2006/main" count="96" uniqueCount="37">
  <si>
    <t>DATA</t>
  </si>
  <si>
    <t>REGIÃO</t>
  </si>
  <si>
    <t>VENDEDOR</t>
  </si>
  <si>
    <t>PRODUTO</t>
  </si>
  <si>
    <t>QUANTIDADE</t>
  </si>
  <si>
    <t>PREÇO UNITARIO</t>
  </si>
  <si>
    <t>FATURAMENTO</t>
  </si>
  <si>
    <t>Sudeste</t>
  </si>
  <si>
    <t>Sul</t>
  </si>
  <si>
    <t>Nordeste</t>
  </si>
  <si>
    <t>Ana</t>
  </si>
  <si>
    <t>Carlos</t>
  </si>
  <si>
    <t>João</t>
  </si>
  <si>
    <t>Centro-Oeste</t>
  </si>
  <si>
    <t>Maria</t>
  </si>
  <si>
    <t>Notebook</t>
  </si>
  <si>
    <t>Monitor</t>
  </si>
  <si>
    <t>Mouse</t>
  </si>
  <si>
    <t>Teclado</t>
  </si>
  <si>
    <t>02</t>
  </si>
  <si>
    <t>03</t>
  </si>
  <si>
    <t>05</t>
  </si>
  <si>
    <t>01</t>
  </si>
  <si>
    <t>08</t>
  </si>
  <si>
    <t>04</t>
  </si>
  <si>
    <t>15</t>
  </si>
  <si>
    <t>06</t>
  </si>
  <si>
    <t>Soma de FATURAMENTO</t>
  </si>
  <si>
    <t>Contagem de PRODUTO</t>
  </si>
  <si>
    <t>Quantidade de Vendas</t>
  </si>
  <si>
    <t>Faturamento Total</t>
  </si>
  <si>
    <t>Rótulos de Linha</t>
  </si>
  <si>
    <t>Total Geral</t>
  </si>
  <si>
    <t>Melhor Vendedor</t>
  </si>
  <si>
    <t>Ticket Médio</t>
  </si>
  <si>
    <t>DASHBOARD DE VENDAS</t>
  </si>
  <si>
    <t>PERÍODO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</si>
</sst>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Aptos Narrow"/>
      <family val="2"/>
      <scheme val="minor"/>
    </font>
    <font>
      <b/>
      <sz val="12"/>
      <color theme="7" tint="-0.249977111117893"/>
      <name val="Aptos Narrow"/>
      <family val="2"/>
      <scheme val="minor"/>
    </font>
    <font>
      <b/>
      <sz val="16"/>
      <color theme="7" tint="-0.249977111117893"/>
      <name val="Aptos Narrow"/>
      <family val="2"/>
      <scheme val="minor"/>
    </font>
    <font>
      <b/>
      <sz val="12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gradientFill type="path">
        <stop position="0">
          <color theme="0"/>
        </stop>
        <stop position="1">
          <color theme="4"/>
        </stop>
      </gradient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0" fontId="1" fillId="0" borderId="1" xfId="0" applyFont="1" applyBorder="1"/>
    <xf numFmtId="49" fontId="1" fillId="0" borderId="1" xfId="0" applyNumberFormat="1" applyFont="1" applyBorder="1" applyAlignment="1">
      <alignment horizontal="right"/>
    </xf>
    <xf numFmtId="49" fontId="0" fillId="0" borderId="0" xfId="0" applyNumberFormat="1" applyAlignment="1">
      <alignment horizontal="right"/>
    </xf>
    <xf numFmtId="44" fontId="1" fillId="0" borderId="1" xfId="0" applyNumberFormat="1" applyFont="1" applyBorder="1"/>
    <xf numFmtId="44" fontId="0" fillId="0" borderId="0" xfId="0" applyNumberFormat="1"/>
    <xf numFmtId="14" fontId="1" fillId="0" borderId="2" xfId="0" applyNumberFormat="1" applyFont="1" applyBorder="1" applyAlignment="1">
      <alignment horizontal="left"/>
    </xf>
    <xf numFmtId="44" fontId="1" fillId="0" borderId="3" xfId="0" applyNumberFormat="1" applyFont="1" applyBorder="1"/>
    <xf numFmtId="0" fontId="2" fillId="0" borderId="5" xfId="0" applyFont="1" applyBorder="1"/>
    <xf numFmtId="49" fontId="2" fillId="0" borderId="5" xfId="0" applyNumberFormat="1" applyFont="1" applyBorder="1" applyAlignment="1">
      <alignment horizontal="left"/>
    </xf>
    <xf numFmtId="44" fontId="2" fillId="0" borderId="5" xfId="0" applyNumberFormat="1" applyFont="1" applyBorder="1"/>
    <xf numFmtId="44" fontId="2" fillId="0" borderId="6" xfId="0" applyNumberFormat="1" applyFont="1" applyBorder="1"/>
    <xf numFmtId="14" fontId="1" fillId="0" borderId="7" xfId="0" applyNumberFormat="1" applyFont="1" applyBorder="1" applyAlignment="1">
      <alignment horizontal="left"/>
    </xf>
    <xf numFmtId="0" fontId="1" fillId="0" borderId="8" xfId="0" applyFont="1" applyBorder="1"/>
    <xf numFmtId="49" fontId="1" fillId="0" borderId="8" xfId="0" applyNumberFormat="1" applyFont="1" applyBorder="1" applyAlignment="1">
      <alignment horizontal="right"/>
    </xf>
    <xf numFmtId="44" fontId="1" fillId="0" borderId="8" xfId="0" applyNumberFormat="1" applyFont="1" applyBorder="1"/>
    <xf numFmtId="44" fontId="1" fillId="0" borderId="9" xfId="0" applyNumberFormat="1" applyFont="1" applyBorder="1"/>
    <xf numFmtId="14" fontId="2" fillId="0" borderId="4" xfId="0" applyNumberFormat="1" applyFont="1" applyBorder="1"/>
    <xf numFmtId="44" fontId="3" fillId="0" borderId="0" xfId="0" applyNumberFormat="1" applyFont="1" applyAlignment="1">
      <alignment vertical="center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4" fillId="2" borderId="0" xfId="0" applyFont="1" applyFill="1" applyAlignment="1">
      <alignment horizontal="center"/>
    </xf>
    <xf numFmtId="0" fontId="8" fillId="3" borderId="0" xfId="0" applyFont="1" applyFill="1"/>
    <xf numFmtId="44" fontId="4" fillId="2" borderId="0" xfId="0" applyNumberFormat="1" applyFont="1" applyFill="1" applyAlignment="1">
      <alignment horizontal="center"/>
    </xf>
    <xf numFmtId="44" fontId="7" fillId="3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4" fontId="8" fillId="3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[Vendas.xlsx]Planilha6!Tabela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>
                <a:solidFill>
                  <a:schemeClr val="accent1">
                    <a:lumMod val="50000"/>
                  </a:schemeClr>
                </a:solidFill>
              </a:rPr>
              <a:t>FATURAMENTO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Planilha6!$A$4:$A$8</c:f>
              <c:strCache>
                <c:ptCount val="4"/>
                <c:pt idx="0">
                  <c:v>Centro-Oeste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</c:strCache>
            </c:strRef>
          </c:cat>
          <c:val>
            <c:numRef>
              <c:f>Planilha6!$B$4:$B$8</c:f>
              <c:numCache>
                <c:formatCode>_("R$"* #,##0.00_);_("R$"* \(#,##0.00\);_("R$"* "-"??_);_(@_)</c:formatCode>
                <c:ptCount val="4"/>
                <c:pt idx="0">
                  <c:v>11100</c:v>
                </c:pt>
                <c:pt idx="1">
                  <c:v>7300</c:v>
                </c:pt>
                <c:pt idx="2">
                  <c:v>21850</c:v>
                </c:pt>
                <c:pt idx="3">
                  <c:v>7740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7-4FA3-997B-EA39D7DCB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9009535"/>
        <c:axId val="799015295"/>
      </c:barChart>
      <c:catAx>
        <c:axId val="79900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9015295"/>
        <c:crosses val="autoZero"/>
        <c:auto val="1"/>
        <c:lblAlgn val="ctr"/>
        <c:lblOffset val="100"/>
        <c:noMultiLvlLbl val="0"/>
      </c:catAx>
      <c:valAx>
        <c:axId val="79901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900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[Vendas.xlsx]Planilha5!Tabela dinâmica3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accent1">
                    <a:lumMod val="50000"/>
                  </a:schemeClr>
                </a:solidFill>
              </a:rPr>
              <a:t>FATURAMENTO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Planilha5!$B$3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6B-4040-9671-B9873B95E4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6B-4040-9671-B9873B95E4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6B-4040-9671-B9873B95E4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6B-4040-9671-B9873B95E45D}"/>
              </c:ext>
            </c:extLst>
          </c:dPt>
          <c:cat>
            <c:strRef>
              <c:f>Planilha5!$A$4:$A$8</c:f>
              <c:strCache>
                <c:ptCount val="4"/>
                <c:pt idx="0">
                  <c:v>Ana</c:v>
                </c:pt>
                <c:pt idx="1">
                  <c:v>Carlos</c:v>
                </c:pt>
                <c:pt idx="2">
                  <c:v>João</c:v>
                </c:pt>
                <c:pt idx="3">
                  <c:v>Maria</c:v>
                </c:pt>
              </c:strCache>
            </c:strRef>
          </c:cat>
          <c:val>
            <c:numRef>
              <c:f>Planilha5!$B$4:$B$8</c:f>
              <c:numCache>
                <c:formatCode>_("R$"* #,##0.00_);_("R$"* \(#,##0.00\);_("R$"* "-"??_);_(@_)</c:formatCode>
                <c:ptCount val="4"/>
                <c:pt idx="0">
                  <c:v>21850</c:v>
                </c:pt>
                <c:pt idx="1">
                  <c:v>7740</c:v>
                </c:pt>
                <c:pt idx="2">
                  <c:v>7300</c:v>
                </c:pt>
                <c:pt idx="3">
                  <c:v>11100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6B-4040-9671-B9873B95E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19685039370078741" l="0.11811023622047245" r="0.11811023622047245" t="0.19685039370078741" header="0.11811023622047245" footer="0.11811023622047245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[Vendas.xlsx]Planilha7!Tabela dinâmica5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>
                <a:solidFill>
                  <a:schemeClr val="accent1">
                    <a:lumMod val="50000"/>
                  </a:schemeClr>
                </a:solidFill>
              </a:rPr>
              <a:t>FATURAMENTO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Planilha7!$A$4:$A$8</c:f>
              <c:strCache>
                <c:ptCount val="4"/>
                <c:pt idx="0">
                  <c:v>Monitor</c:v>
                </c:pt>
                <c:pt idx="1">
                  <c:v>Mouse</c:v>
                </c:pt>
                <c:pt idx="2">
                  <c:v>Notebook</c:v>
                </c:pt>
                <c:pt idx="3">
                  <c:v>Teclado</c:v>
                </c:pt>
              </c:strCache>
            </c:strRef>
          </c:cat>
          <c:val>
            <c:numRef>
              <c:f>Planilha7!$B$4:$B$8</c:f>
              <c:numCache>
                <c:formatCode>_("R$"* #,##0.00_);_("R$"* \(#,##0.00\);_("R$"* "-"??_);_(@_)</c:formatCode>
                <c:ptCount val="4"/>
                <c:pt idx="0">
                  <c:v>8100</c:v>
                </c:pt>
                <c:pt idx="1">
                  <c:v>2640</c:v>
                </c:pt>
                <c:pt idx="2">
                  <c:v>35000</c:v>
                </c:pt>
                <c:pt idx="3">
                  <c:v>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B-4F29-8794-5C0205CE9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9054175"/>
        <c:axId val="799054655"/>
      </c:barChart>
      <c:catAx>
        <c:axId val="79905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9054655"/>
        <c:crosses val="autoZero"/>
        <c:auto val="1"/>
        <c:lblAlgn val="ctr"/>
        <c:lblOffset val="100"/>
        <c:noMultiLvlLbl val="0"/>
      </c:catAx>
      <c:valAx>
        <c:axId val="79905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905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[Vendas.xlsx]Planilha6!Tabela dinâmica4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accent1">
                    <a:lumMod val="50000"/>
                  </a:schemeClr>
                </a:solidFill>
              </a:rPr>
              <a:t>PARTICIPAÇÃO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Planilha6!$B$3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3C-411A-A994-8D19E728F7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3C-411A-A994-8D19E728F7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3C-411A-A994-8D19E728F7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3C-411A-A994-8D19E728F7CC}"/>
              </c:ext>
            </c:extLst>
          </c:dPt>
          <c:cat>
            <c:strRef>
              <c:f>Planilha6!$A$4:$A$8</c:f>
              <c:strCache>
                <c:ptCount val="4"/>
                <c:pt idx="0">
                  <c:v>Centro-Oeste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</c:strCache>
            </c:strRef>
          </c:cat>
          <c:val>
            <c:numRef>
              <c:f>Planilha6!$B$4:$B$8</c:f>
              <c:numCache>
                <c:formatCode>_("R$"* #,##0.00_);_("R$"* \(#,##0.00\);_("R$"* "-"??_);_(@_)</c:formatCode>
                <c:ptCount val="4"/>
                <c:pt idx="0">
                  <c:v>11100</c:v>
                </c:pt>
                <c:pt idx="1">
                  <c:v>7300</c:v>
                </c:pt>
                <c:pt idx="2">
                  <c:v>21850</c:v>
                </c:pt>
                <c:pt idx="3">
                  <c:v>7740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3C-411A-A994-8D19E728F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10" Type="http://schemas.openxmlformats.org/officeDocument/2006/relationships/image" Target="../media/image6.svg"/><Relationship Id="rId4" Type="http://schemas.openxmlformats.org/officeDocument/2006/relationships/chart" Target="../charts/chart4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7</xdr:row>
      <xdr:rowOff>175260</xdr:rowOff>
    </xdr:from>
    <xdr:to>
      <xdr:col>5</xdr:col>
      <xdr:colOff>251460</xdr:colOff>
      <xdr:row>19</xdr:row>
      <xdr:rowOff>15240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82BAF58-814B-40B9-BFDF-C4EDB5F500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457200</xdr:colOff>
      <xdr:row>19</xdr:row>
      <xdr:rowOff>76200</xdr:rowOff>
    </xdr:from>
    <xdr:to>
      <xdr:col>5</xdr:col>
      <xdr:colOff>579120</xdr:colOff>
      <xdr:row>28</xdr:row>
      <xdr:rowOff>129540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DD74E73-735D-4BC0-97C4-C5E3EB4A3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83820</xdr:colOff>
      <xdr:row>19</xdr:row>
      <xdr:rowOff>68580</xdr:rowOff>
    </xdr:from>
    <xdr:to>
      <xdr:col>12</xdr:col>
      <xdr:colOff>167640</xdr:colOff>
      <xdr:row>28</xdr:row>
      <xdr:rowOff>137160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953B049-A2A7-47B7-AC39-31019B424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320040</xdr:colOff>
      <xdr:row>8</xdr:row>
      <xdr:rowOff>152400</xdr:rowOff>
    </xdr:from>
    <xdr:to>
      <xdr:col>10</xdr:col>
      <xdr:colOff>243840</xdr:colOff>
      <xdr:row>19</xdr:row>
      <xdr:rowOff>22860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D94118C-BA7D-4693-A389-F9188415C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266700</xdr:colOff>
      <xdr:row>9</xdr:row>
      <xdr:rowOff>121920</xdr:rowOff>
    </xdr:from>
    <xdr:to>
      <xdr:col>12</xdr:col>
      <xdr:colOff>381000</xdr:colOff>
      <xdr:row>17</xdr:row>
      <xdr:rowOff>144780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REGIÃO">
              <a:extLst>
                <a:ext uri="{FF2B5EF4-FFF2-40B4-BE49-F238E27FC236}">
                  <a16:creationId xmlns:a16="http://schemas.microsoft.com/office/drawing/2014/main" id="{1FDD070C-8903-40A4-94D5-87240764F9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37020" y="1981200"/>
              <a:ext cx="13335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350520</xdr:colOff>
      <xdr:row>1</xdr:row>
      <xdr:rowOff>76200</xdr:rowOff>
    </xdr:from>
    <xdr:to>
      <xdr:col>14</xdr:col>
      <xdr:colOff>525780</xdr:colOff>
      <xdr:row>7</xdr:row>
      <xdr:rowOff>121920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2" name="DATA">
              <a:extLst>
                <a:ext uri="{FF2B5EF4-FFF2-40B4-BE49-F238E27FC236}">
                  <a16:creationId xmlns:a16="http://schemas.microsoft.com/office/drawing/2014/main" id="{707C5A44-DC12-4978-A50F-78080EFD54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11240" y="259080"/>
              <a:ext cx="3223260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403860</xdr:colOff>
      <xdr:row>19</xdr:row>
      <xdr:rowOff>7620</xdr:rowOff>
    </xdr:from>
    <xdr:to>
      <xdr:col>14</xdr:col>
      <xdr:colOff>541020</xdr:colOff>
      <xdr:row>27</xdr:row>
      <xdr:rowOff>68579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VENDEDOR">
              <a:extLst>
                <a:ext uri="{FF2B5EF4-FFF2-40B4-BE49-F238E27FC236}">
                  <a16:creationId xmlns:a16="http://schemas.microsoft.com/office/drawing/2014/main" id="{6507F6FC-D729-46B9-8155-6F3A80C62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93380" y="3695700"/>
              <a:ext cx="1356360" cy="1523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403860</xdr:colOff>
      <xdr:row>10</xdr:row>
      <xdr:rowOff>38100</xdr:rowOff>
    </xdr:from>
    <xdr:to>
      <xdr:col>14</xdr:col>
      <xdr:colOff>541020</xdr:colOff>
      <xdr:row>18</xdr:row>
      <xdr:rowOff>144779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PRODUTO">
              <a:extLst>
                <a:ext uri="{FF2B5EF4-FFF2-40B4-BE49-F238E27FC236}">
                  <a16:creationId xmlns:a16="http://schemas.microsoft.com/office/drawing/2014/main" id="{F8BEE55F-7522-4F47-9609-C3DE0FC54B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93380" y="2080260"/>
              <a:ext cx="1356360" cy="15697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586740</xdr:colOff>
      <xdr:row>2</xdr:row>
      <xdr:rowOff>160020</xdr:rowOff>
    </xdr:from>
    <xdr:to>
      <xdr:col>4</xdr:col>
      <xdr:colOff>480060</xdr:colOff>
      <xdr:row>4</xdr:row>
      <xdr:rowOff>129540</xdr:rowOff>
    </xdr:to>
    <xdr:pic>
      <xdr:nvPicPr>
        <xdr:cNvPr id="3" name="Gráfico 2" descr="Moedas estrutura de tópicos">
          <a:extLst>
            <a:ext uri="{FF2B5EF4-FFF2-40B4-BE49-F238E27FC236}">
              <a16:creationId xmlns:a16="http://schemas.microsoft.com/office/drawing/2014/main" id="{3FBA140F-D9AB-B924-D8BE-01F234324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689860" y="693420"/>
          <a:ext cx="502920" cy="502920"/>
        </a:xfrm>
        <a:prstGeom prst="rect">
          <a:avLst/>
        </a:prstGeom>
      </xdr:spPr>
    </xdr:pic>
    <xdr:clientData/>
  </xdr:twoCellAnchor>
  <xdr:twoCellAnchor editAs="oneCell">
    <xdr:from>
      <xdr:col>7</xdr:col>
      <xdr:colOff>251460</xdr:colOff>
      <xdr:row>2</xdr:row>
      <xdr:rowOff>160020</xdr:rowOff>
    </xdr:from>
    <xdr:to>
      <xdr:col>8</xdr:col>
      <xdr:colOff>15240</xdr:colOff>
      <xdr:row>4</xdr:row>
      <xdr:rowOff>0</xdr:rowOff>
    </xdr:to>
    <xdr:pic>
      <xdr:nvPicPr>
        <xdr:cNvPr id="15" name="Gráfico 14" descr="Carrinho de compras com preenchimento sólido">
          <a:extLst>
            <a:ext uri="{FF2B5EF4-FFF2-40B4-BE49-F238E27FC236}">
              <a16:creationId xmlns:a16="http://schemas.microsoft.com/office/drawing/2014/main" id="{7EAF286D-FCD5-963A-687C-912467E45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067300" y="693420"/>
          <a:ext cx="373380" cy="37338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4</xdr:row>
      <xdr:rowOff>129540</xdr:rowOff>
    </xdr:from>
    <xdr:to>
      <xdr:col>3</xdr:col>
      <xdr:colOff>586740</xdr:colOff>
      <xdr:row>6</xdr:row>
      <xdr:rowOff>167640</xdr:rowOff>
    </xdr:to>
    <xdr:pic>
      <xdr:nvPicPr>
        <xdr:cNvPr id="19" name="Gráfico 18" descr="Faixa de Opções com preenchimento sólido">
          <a:extLst>
            <a:ext uri="{FF2B5EF4-FFF2-40B4-BE49-F238E27FC236}">
              <a16:creationId xmlns:a16="http://schemas.microsoft.com/office/drawing/2014/main" id="{C3124A9A-1262-226E-1C8F-81C6F2A8B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255520" y="1196340"/>
          <a:ext cx="434340" cy="43434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ne Gomes" refreshedDate="46196.888192824073" createdVersion="8" refreshedVersion="8" minRefreshableVersion="3" recordCount="15" xr:uid="{CC0584B1-35E7-43EC-B3B4-39373B2D9CA8}">
  <cacheSource type="worksheet">
    <worksheetSource name="BASE"/>
  </cacheSource>
  <cacheFields count="7">
    <cacheField name="DATA" numFmtId="14">
      <sharedItems containsSemiMixedTypes="0" containsNonDate="0" containsDate="1" containsString="0" minDate="2026-01-01T00:00:00" maxDate="2026-01-16T00:00:00" count="1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</sharedItems>
    </cacheField>
    <cacheField name="REGIÃO" numFmtId="0">
      <sharedItems count="4">
        <s v="Sudeste"/>
        <s v="Sul"/>
        <s v="Nordeste"/>
        <s v="Centro-Oeste"/>
      </sharedItems>
    </cacheField>
    <cacheField name="VENDEDOR" numFmtId="0">
      <sharedItems count="4">
        <s v="Ana"/>
        <s v="Carlos"/>
        <s v="João"/>
        <s v="Maria"/>
      </sharedItems>
    </cacheField>
    <cacheField name="PRODUTO" numFmtId="0">
      <sharedItems count="4">
        <s v="Notebook"/>
        <s v="Monitor"/>
        <s v="Mouse"/>
        <s v="Teclado"/>
      </sharedItems>
    </cacheField>
    <cacheField name="QUANTIDADE" numFmtId="49">
      <sharedItems containsMixedTypes="1" containsNumber="1" containsInteger="1" minValue="10" maxValue="10"/>
    </cacheField>
    <cacheField name="PREÇO UNITARIO" numFmtId="44">
      <sharedItems containsSemiMixedTypes="0" containsString="0" containsNumber="1" containsInteger="1" minValue="80" maxValue="3500"/>
    </cacheField>
    <cacheField name="FATURAMENTO" numFmtId="44">
      <sharedItems containsSemiMixedTypes="0" containsString="0" containsNumber="1" containsInteger="1" minValue="600" maxValue="10500"/>
    </cacheField>
  </cacheFields>
  <extLst>
    <ext xmlns:x14="http://schemas.microsoft.com/office/spreadsheetml/2009/9/main" uri="{725AE2AE-9491-48be-B2B4-4EB974FC3084}">
      <x14:pivotCacheDefinition pivotCacheId="2485410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s v="02"/>
    <n v="3500"/>
    <n v="7000"/>
  </r>
  <r>
    <x v="1"/>
    <x v="1"/>
    <x v="1"/>
    <x v="1"/>
    <s v="03"/>
    <n v="900"/>
    <n v="2700"/>
  </r>
  <r>
    <x v="2"/>
    <x v="2"/>
    <x v="2"/>
    <x v="2"/>
    <n v="10"/>
    <n v="80"/>
    <n v="800"/>
  </r>
  <r>
    <x v="3"/>
    <x v="0"/>
    <x v="0"/>
    <x v="3"/>
    <s v="05"/>
    <n v="150"/>
    <n v="750"/>
  </r>
  <r>
    <x v="4"/>
    <x v="3"/>
    <x v="3"/>
    <x v="0"/>
    <s v="01"/>
    <n v="3500"/>
    <n v="3500"/>
  </r>
  <r>
    <x v="5"/>
    <x v="1"/>
    <x v="1"/>
    <x v="2"/>
    <s v="08"/>
    <n v="80"/>
    <n v="640"/>
  </r>
  <r>
    <x v="6"/>
    <x v="2"/>
    <x v="2"/>
    <x v="1"/>
    <s v="02"/>
    <n v="900"/>
    <n v="1800"/>
  </r>
  <r>
    <x v="7"/>
    <x v="0"/>
    <x v="0"/>
    <x v="0"/>
    <s v="03"/>
    <n v="3500"/>
    <n v="10500"/>
  </r>
  <r>
    <x v="8"/>
    <x v="3"/>
    <x v="3"/>
    <x v="3"/>
    <s v="04"/>
    <n v="150"/>
    <n v="600"/>
  </r>
  <r>
    <x v="9"/>
    <x v="1"/>
    <x v="1"/>
    <x v="0"/>
    <s v="01"/>
    <n v="3500"/>
    <n v="3500"/>
  </r>
  <r>
    <x v="10"/>
    <x v="2"/>
    <x v="2"/>
    <x v="2"/>
    <s v="15"/>
    <n v="80"/>
    <n v="1200"/>
  </r>
  <r>
    <x v="11"/>
    <x v="0"/>
    <x v="0"/>
    <x v="1"/>
    <s v="04"/>
    <n v="900"/>
    <n v="3600"/>
  </r>
  <r>
    <x v="12"/>
    <x v="3"/>
    <x v="3"/>
    <x v="0"/>
    <s v="02"/>
    <n v="3500"/>
    <n v="7000"/>
  </r>
  <r>
    <x v="13"/>
    <x v="1"/>
    <x v="1"/>
    <x v="3"/>
    <s v="06"/>
    <n v="150"/>
    <n v="900"/>
  </r>
  <r>
    <x v="14"/>
    <x v="2"/>
    <x v="2"/>
    <x v="0"/>
    <s v="01"/>
    <n v="3500"/>
    <n v="3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0EC54-5290-4A1F-9B78-9AB3DC149C1E}" name="Tabela dinâ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3:A4" firstHeaderRow="1" firstDataRow="1" firstDataCol="0"/>
  <pivotFields count="7"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numFmtId="44" showAll="0"/>
    <pivotField dataField="1" numFmtId="44" showAll="0"/>
  </pivotFields>
  <rowItems count="1">
    <i/>
  </rowItems>
  <colItems count="1">
    <i/>
  </colItems>
  <dataFields count="1">
    <dataField name="Soma de FATURAMENTO" fld="6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336F3-8E4A-4623-98B3-F07DFEBEFC12}" name="Tabela dinâmica2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3:A4" firstHeaderRow="1" firstDataRow="1" firstDataCol="0"/>
  <pivotFields count="7"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ataField="1" showAll="0">
      <items count="5">
        <item x="1"/>
        <item x="2"/>
        <item x="0"/>
        <item x="3"/>
        <item t="default"/>
      </items>
    </pivotField>
    <pivotField showAll="0"/>
    <pivotField numFmtId="44" showAll="0"/>
    <pivotField numFmtId="44" showAll="0"/>
  </pivotFields>
  <rowItems count="1">
    <i/>
  </rowItems>
  <colItems count="1">
    <i/>
  </colItems>
  <dataFields count="1">
    <dataField name="Contagem de PRODUT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F1F6F-D357-46E4-918B-D4095D39D6A8}" name="Tabela dinâmica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3:B8" firstHeaderRow="1" firstDataRow="1" firstDataCol="1"/>
  <pivotFields count="7"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numFmtId="44" showAll="0"/>
    <pivotField dataField="1" numFmtId="4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FATURAMENTO" fld="6" baseField="0" baseItem="0" numFmtId="44"/>
  </dataFields>
  <chartFormats count="5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267DA-6E93-450B-A281-FB6A6C092F99}" name="Tabela dinâmica4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9">
  <location ref="A3:B8" firstHeaderRow="1" firstDataRow="1" firstDataCol="1"/>
  <pivotFields count="7"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numFmtId="44" showAll="0"/>
    <pivotField dataField="1" numFmtId="4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FATURAMENTO" fld="6" baseField="0" baseItem="0" numFmtId="44"/>
  </dataFields>
  <chartFormats count="6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F9DC7-A1D6-4DC8-8DB4-01CB993584AF}" name="Tabela dinâmica5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2">
  <location ref="A3:B8" firstHeaderRow="1" firstDataRow="1" firstDataCol="1"/>
  <pivotFields count="7"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numFmtId="44" showAll="0"/>
    <pivotField dataField="1" numFmtId="44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FATURAMENTO" fld="6" baseField="0" baseItem="0" numFmtId="44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7EF4ED04-55A1-4DFB-B6BB-DA8BCF163376}" sourceName="REGIÃO">
  <pivotTables>
    <pivotTable tabId="5" name="Tabela dinâmica3"/>
    <pivotTable tabId="2" name="Tabela dinâmica1"/>
    <pivotTable tabId="4" name="Tabela dinâmica2"/>
    <pivotTable tabId="6" name="Tabela dinâmica4"/>
    <pivotTable tabId="7" name="Tabela dinâmica5"/>
  </pivotTables>
  <data>
    <tabular pivotCacheId="248541000">
      <items count="4">
        <i x="3" s="1"/>
        <i x="2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75709316-9D0A-4345-B04E-849DBDC5881D}" sourceName="VENDEDOR">
  <pivotTables>
    <pivotTable tabId="5" name="Tabela dinâmica3"/>
    <pivotTable tabId="2" name="Tabela dinâmica1"/>
    <pivotTable tabId="4" name="Tabela dinâmica2"/>
    <pivotTable tabId="6" name="Tabela dinâmica4"/>
    <pivotTable tabId="7" name="Tabela dinâmica5"/>
  </pivotTables>
  <data>
    <tabular pivotCacheId="248541000">
      <items count="4">
        <i x="0" s="1"/>
        <i x="1" s="1"/>
        <i x="2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778C396F-3681-4645-8DAF-610E70068689}" sourceName="PRODUTO">
  <pivotTables>
    <pivotTable tabId="5" name="Tabela dinâmica3"/>
    <pivotTable tabId="2" name="Tabela dinâmica1"/>
    <pivotTable tabId="4" name="Tabela dinâmica2"/>
    <pivotTable tabId="6" name="Tabela dinâmica4"/>
    <pivotTable tabId="7" name="Tabela dinâmica5"/>
  </pivotTables>
  <data>
    <tabular pivotCacheId="248541000">
      <items count="4">
        <i x="1" s="1"/>
        <i x="2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ÃO" xr10:uid="{C52DAACC-6A14-4ED5-A90C-A15DCF6CC8F1}" cache="SegmentaçãodeDados_REGIÃO" caption="REGIÃO" rowHeight="247650"/>
  <slicer name="VENDEDOR" xr10:uid="{4E4D5D75-2F22-481E-8E11-87E501427772}" cache="SegmentaçãodeDados_VENDEDOR" caption="VENDEDOR" rowHeight="247650"/>
  <slicer name="PRODUTO" xr10:uid="{285AF01D-2548-4F77-8549-09029A1DD34A}" cache="SegmentaçãodeDados_PRODUTO" caption="PRODUTO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0A9E68-7265-458E-9D1D-636CD63D8E80}" name="BASE" displayName="BASE" ref="A1:G16" totalsRowShown="0" headerRowBorderDxfId="9" tableBorderDxfId="8" totalsRowBorderDxfId="7">
  <autoFilter ref="A1:G16" xr:uid="{A20A9E68-7265-458E-9D1D-636CD63D8E80}"/>
  <tableColumns count="7">
    <tableColumn id="1" xr3:uid="{E58FD275-A817-4E61-B3A8-7B30F77B28B6}" name="DATA" dataDxfId="6"/>
    <tableColumn id="2" xr3:uid="{8164F03F-4393-4629-99EE-84C68B51A2D4}" name="REGIÃO" dataDxfId="5"/>
    <tableColumn id="3" xr3:uid="{AF850F38-4CCC-4291-BFCB-B899A0180DCD}" name="VENDEDOR" dataDxfId="4"/>
    <tableColumn id="4" xr3:uid="{B251F80A-B4C5-4AED-8FE2-D38B1748A3E6}" name="PRODUTO" dataDxfId="3"/>
    <tableColumn id="5" xr3:uid="{36B008E1-DA2B-4718-A361-3EEBA91BDB45}" name="QUANTIDADE" dataDxfId="2"/>
    <tableColumn id="6" xr3:uid="{445C36AB-414F-4F2B-8DE2-EE2FC7A66F02}" name="PREÇO UNITARIO" dataDxfId="1"/>
    <tableColumn id="7" xr3:uid="{1FFE191A-2FF2-4007-9C04-06F6BFE87DF9}" name="FATURAMENTO" dataDxfId="0">
      <calculatedColumnFormula>SUM(F2*E2)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704E051B-5B53-47D4-AE40-B2875C66367F}" sourceName="DATA">
  <pivotTables>
    <pivotTable tabId="5" name="Tabela dinâmica3"/>
    <pivotTable tabId="2" name="Tabela dinâmica1"/>
    <pivotTable tabId="4" name="Tabela dinâmica2"/>
    <pivotTable tabId="6" name="Tabela dinâmica4"/>
    <pivotTable tabId="7" name="Tabela dinâmica5"/>
  </pivotTables>
  <state minimalRefreshVersion="6" lastRefreshVersion="6" pivotCacheId="248541000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B282CA27-B399-4A8F-9907-299D4B4BC544}" cache="NativeTimeline_DATA" caption="DATA" level="2" selectionLevel="2" scrollPosition="2026-05-12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28C0-B9A4-4F84-B1B9-C09B73A6946C}">
  <dimension ref="A3:A4"/>
  <sheetViews>
    <sheetView workbookViewId="0">
      <selection activeCell="A3" sqref="A3"/>
    </sheetView>
  </sheetViews>
  <sheetFormatPr defaultRowHeight="14.4" x14ac:dyDescent="0.3"/>
  <cols>
    <col min="1" max="1" width="21.33203125" bestFit="1" customWidth="1"/>
  </cols>
  <sheetData>
    <row r="3" spans="1:1" x14ac:dyDescent="0.3">
      <c r="A3" t="s">
        <v>27</v>
      </c>
    </row>
    <row r="4" spans="1:1" x14ac:dyDescent="0.3">
      <c r="A4" s="6">
        <v>47990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38F8-B82E-46C6-AE9E-66785A81179B}">
  <dimension ref="B1:M10"/>
  <sheetViews>
    <sheetView showGridLines="0" tabSelected="1" workbookViewId="0">
      <selection activeCell="S7" sqref="S7"/>
    </sheetView>
  </sheetViews>
  <sheetFormatPr defaultRowHeight="14.4" x14ac:dyDescent="0.3"/>
  <cols>
    <col min="2" max="2" width="12.88671875" bestFit="1" customWidth="1"/>
    <col min="6" max="6" width="12.88671875" bestFit="1" customWidth="1"/>
    <col min="17" max="17" width="11.88671875" bestFit="1" customWidth="1"/>
  </cols>
  <sheetData>
    <row r="1" spans="2:13" ht="21" x14ac:dyDescent="0.4">
      <c r="D1" s="27" t="s">
        <v>35</v>
      </c>
      <c r="E1" s="27"/>
      <c r="F1" s="27"/>
      <c r="G1" s="27"/>
    </row>
    <row r="2" spans="2:13" ht="21" x14ac:dyDescent="0.4">
      <c r="F2" s="28" t="s">
        <v>36</v>
      </c>
      <c r="G2" s="28"/>
      <c r="M2" s="20"/>
    </row>
    <row r="3" spans="2:13" ht="21" x14ac:dyDescent="0.4">
      <c r="B3" s="30" t="s">
        <v>30</v>
      </c>
      <c r="C3" s="30"/>
      <c r="D3" s="30"/>
    </row>
    <row r="4" spans="2:13" ht="21" x14ac:dyDescent="0.4">
      <c r="B4" s="26">
        <f>GETPIVOTDATA("FATURAMENTO",Planilha5!$A$3)</f>
        <v>47990</v>
      </c>
      <c r="C4" s="26"/>
      <c r="D4" s="26"/>
      <c r="F4" s="29" t="s">
        <v>29</v>
      </c>
      <c r="G4" s="29"/>
      <c r="H4" s="29"/>
      <c r="I4" s="24">
        <f>GETPIVOTDATA("PRODUTO",Planilha4!$A$3)</f>
        <v>15</v>
      </c>
    </row>
    <row r="5" spans="2:13" ht="15.6" x14ac:dyDescent="0.3">
      <c r="F5" s="29" t="s">
        <v>34</v>
      </c>
      <c r="G5" s="29"/>
      <c r="H5" s="31">
        <f>B4/I4</f>
        <v>3199.3333333333335</v>
      </c>
      <c r="I5" s="31"/>
    </row>
    <row r="6" spans="2:13" ht="15.6" x14ac:dyDescent="0.3">
      <c r="B6" s="32" t="s">
        <v>33</v>
      </c>
      <c r="C6" s="32"/>
      <c r="D6" s="32"/>
    </row>
    <row r="7" spans="2:13" ht="15.6" x14ac:dyDescent="0.3">
      <c r="C7" s="23" t="s">
        <v>10</v>
      </c>
      <c r="D7" s="23"/>
      <c r="E7" s="25">
        <f>GETPIVOTDATA("FATURAMENTO",Planilha5!$A$3,"VENDEDOR","Ana")</f>
        <v>21850</v>
      </c>
      <c r="F7" s="25"/>
    </row>
    <row r="9" spans="2:13" ht="14.4" customHeight="1" x14ac:dyDescent="0.3">
      <c r="B9" s="6"/>
      <c r="C9" s="19"/>
      <c r="D9" s="19"/>
    </row>
    <row r="10" spans="2:13" ht="14.4" customHeight="1" x14ac:dyDescent="0.3">
      <c r="B10" s="19"/>
      <c r="C10" s="19"/>
      <c r="D10" s="19"/>
    </row>
  </sheetData>
  <mergeCells count="9">
    <mergeCell ref="E7:F7"/>
    <mergeCell ref="B4:D4"/>
    <mergeCell ref="D1:G1"/>
    <mergeCell ref="F2:G2"/>
    <mergeCell ref="F4:H4"/>
    <mergeCell ref="B3:D3"/>
    <mergeCell ref="F5:G5"/>
    <mergeCell ref="H5:I5"/>
    <mergeCell ref="B6:D6"/>
  </mergeCells>
  <pageMargins left="0.25" right="0.25" top="0.75" bottom="0.75" header="0.3" footer="0.3"/>
  <pageSetup paperSize="9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7938-B022-429F-9E32-176C0D2C6559}">
  <dimension ref="A3:A4"/>
  <sheetViews>
    <sheetView workbookViewId="0">
      <selection activeCell="A3" sqref="A3"/>
    </sheetView>
  </sheetViews>
  <sheetFormatPr defaultRowHeight="14.4" x14ac:dyDescent="0.3"/>
  <cols>
    <col min="1" max="1" width="20.6640625" bestFit="1" customWidth="1"/>
  </cols>
  <sheetData>
    <row r="3" spans="1:1" x14ac:dyDescent="0.3">
      <c r="A3" t="s">
        <v>28</v>
      </c>
    </row>
    <row r="4" spans="1:1" x14ac:dyDescent="0.3">
      <c r="A4">
        <v>15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5829-0115-4388-A9EC-7D08C2DF8C2B}">
  <dimension ref="A3:B8"/>
  <sheetViews>
    <sheetView workbookViewId="0">
      <selection activeCell="B5" sqref="B5"/>
    </sheetView>
  </sheetViews>
  <sheetFormatPr defaultRowHeight="14.4" x14ac:dyDescent="0.3"/>
  <cols>
    <col min="1" max="1" width="16.77734375" bestFit="1" customWidth="1"/>
    <col min="2" max="2" width="21.33203125" bestFit="1" customWidth="1"/>
  </cols>
  <sheetData>
    <row r="3" spans="1:2" x14ac:dyDescent="0.3">
      <c r="A3" s="21" t="s">
        <v>31</v>
      </c>
      <c r="B3" t="s">
        <v>27</v>
      </c>
    </row>
    <row r="4" spans="1:2" x14ac:dyDescent="0.3">
      <c r="A4" s="22" t="s">
        <v>10</v>
      </c>
      <c r="B4" s="6">
        <v>21850</v>
      </c>
    </row>
    <row r="5" spans="1:2" x14ac:dyDescent="0.3">
      <c r="A5" s="22" t="s">
        <v>11</v>
      </c>
      <c r="B5" s="6">
        <v>7740</v>
      </c>
    </row>
    <row r="6" spans="1:2" x14ac:dyDescent="0.3">
      <c r="A6" s="22" t="s">
        <v>12</v>
      </c>
      <c r="B6" s="6">
        <v>7300</v>
      </c>
    </row>
    <row r="7" spans="1:2" x14ac:dyDescent="0.3">
      <c r="A7" s="22" t="s">
        <v>14</v>
      </c>
      <c r="B7" s="6">
        <v>11100</v>
      </c>
    </row>
    <row r="8" spans="1:2" x14ac:dyDescent="0.3">
      <c r="A8" s="22" t="s">
        <v>32</v>
      </c>
      <c r="B8" s="6">
        <v>47990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43E9-CC4F-490C-AC7E-BC7379779AE2}">
  <dimension ref="A3:B8"/>
  <sheetViews>
    <sheetView workbookViewId="0">
      <selection activeCell="M7" sqref="M7"/>
    </sheetView>
  </sheetViews>
  <sheetFormatPr defaultRowHeight="14.4" x14ac:dyDescent="0.3"/>
  <cols>
    <col min="1" max="1" width="16.77734375" bestFit="1" customWidth="1"/>
    <col min="2" max="2" width="21.33203125" bestFit="1" customWidth="1"/>
  </cols>
  <sheetData>
    <row r="3" spans="1:2" x14ac:dyDescent="0.3">
      <c r="A3" s="21" t="s">
        <v>31</v>
      </c>
      <c r="B3" t="s">
        <v>27</v>
      </c>
    </row>
    <row r="4" spans="1:2" x14ac:dyDescent="0.3">
      <c r="A4" s="22" t="s">
        <v>13</v>
      </c>
      <c r="B4" s="6">
        <v>11100</v>
      </c>
    </row>
    <row r="5" spans="1:2" x14ac:dyDescent="0.3">
      <c r="A5" s="22" t="s">
        <v>9</v>
      </c>
      <c r="B5" s="6">
        <v>7300</v>
      </c>
    </row>
    <row r="6" spans="1:2" x14ac:dyDescent="0.3">
      <c r="A6" s="22" t="s">
        <v>7</v>
      </c>
      <c r="B6" s="6">
        <v>21850</v>
      </c>
    </row>
    <row r="7" spans="1:2" x14ac:dyDescent="0.3">
      <c r="A7" s="22" t="s">
        <v>8</v>
      </c>
      <c r="B7" s="6">
        <v>7740</v>
      </c>
    </row>
    <row r="8" spans="1:2" x14ac:dyDescent="0.3">
      <c r="A8" s="22" t="s">
        <v>32</v>
      </c>
      <c r="B8" s="6">
        <v>47990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6B99-BF88-4C9E-977D-6EB75B7CC5DF}">
  <dimension ref="A3:B8"/>
  <sheetViews>
    <sheetView workbookViewId="0">
      <selection activeCell="B5" sqref="B5"/>
    </sheetView>
  </sheetViews>
  <sheetFormatPr defaultRowHeight="14.4" x14ac:dyDescent="0.3"/>
  <cols>
    <col min="1" max="1" width="16.77734375" bestFit="1" customWidth="1"/>
    <col min="2" max="2" width="21.33203125" bestFit="1" customWidth="1"/>
  </cols>
  <sheetData>
    <row r="3" spans="1:2" x14ac:dyDescent="0.3">
      <c r="A3" s="21" t="s">
        <v>31</v>
      </c>
      <c r="B3" t="s">
        <v>27</v>
      </c>
    </row>
    <row r="4" spans="1:2" x14ac:dyDescent="0.3">
      <c r="A4" s="22" t="s">
        <v>16</v>
      </c>
      <c r="B4" s="6">
        <v>8100</v>
      </c>
    </row>
    <row r="5" spans="1:2" x14ac:dyDescent="0.3">
      <c r="A5" s="22" t="s">
        <v>17</v>
      </c>
      <c r="B5" s="6">
        <v>2640</v>
      </c>
    </row>
    <row r="6" spans="1:2" x14ac:dyDescent="0.3">
      <c r="A6" s="22" t="s">
        <v>15</v>
      </c>
      <c r="B6" s="6">
        <v>35000</v>
      </c>
    </row>
    <row r="7" spans="1:2" x14ac:dyDescent="0.3">
      <c r="A7" s="22" t="s">
        <v>18</v>
      </c>
      <c r="B7" s="6">
        <v>2250</v>
      </c>
    </row>
    <row r="8" spans="1:2" x14ac:dyDescent="0.3">
      <c r="A8" s="22" t="s">
        <v>32</v>
      </c>
      <c r="B8" s="6">
        <v>47990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E631-8918-4BFD-BFFE-6AA6D60EA2CA}">
  <dimension ref="A1:G16"/>
  <sheetViews>
    <sheetView showGridLines="0" workbookViewId="0">
      <selection activeCell="G25" sqref="G25"/>
    </sheetView>
  </sheetViews>
  <sheetFormatPr defaultRowHeight="14.4" x14ac:dyDescent="0.3"/>
  <cols>
    <col min="1" max="1" width="12.88671875" style="1" customWidth="1"/>
    <col min="2" max="2" width="12" bestFit="1" customWidth="1"/>
    <col min="3" max="3" width="12.77734375" customWidth="1"/>
    <col min="4" max="4" width="16.5546875" customWidth="1"/>
    <col min="5" max="5" width="14.33203125" style="4" customWidth="1"/>
    <col min="6" max="6" width="18.77734375" style="6" customWidth="1"/>
    <col min="7" max="7" width="17.44140625" style="6" customWidth="1"/>
  </cols>
  <sheetData>
    <row r="1" spans="1:7" x14ac:dyDescent="0.3">
      <c r="A1" s="1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2" t="s">
        <v>6</v>
      </c>
    </row>
    <row r="2" spans="1:7" x14ac:dyDescent="0.3">
      <c r="A2" s="7">
        <v>46023</v>
      </c>
      <c r="B2" s="2" t="s">
        <v>7</v>
      </c>
      <c r="C2" s="2" t="s">
        <v>10</v>
      </c>
      <c r="D2" s="2" t="s">
        <v>15</v>
      </c>
      <c r="E2" s="3" t="s">
        <v>19</v>
      </c>
      <c r="F2" s="5">
        <v>3500</v>
      </c>
      <c r="G2" s="8">
        <f>SUM(F2*E2)</f>
        <v>7000</v>
      </c>
    </row>
    <row r="3" spans="1:7" x14ac:dyDescent="0.3">
      <c r="A3" s="7">
        <v>46024</v>
      </c>
      <c r="B3" s="2" t="s">
        <v>8</v>
      </c>
      <c r="C3" s="2" t="s">
        <v>11</v>
      </c>
      <c r="D3" s="2" t="s">
        <v>16</v>
      </c>
      <c r="E3" s="3" t="s">
        <v>20</v>
      </c>
      <c r="F3" s="5">
        <v>900</v>
      </c>
      <c r="G3" s="8">
        <f t="shared" ref="G3:G16" si="0">SUM(F3*E3)</f>
        <v>2700</v>
      </c>
    </row>
    <row r="4" spans="1:7" x14ac:dyDescent="0.3">
      <c r="A4" s="7">
        <v>46025</v>
      </c>
      <c r="B4" s="2" t="s">
        <v>9</v>
      </c>
      <c r="C4" s="2" t="s">
        <v>12</v>
      </c>
      <c r="D4" s="2" t="s">
        <v>17</v>
      </c>
      <c r="E4" s="3">
        <v>10</v>
      </c>
      <c r="F4" s="5">
        <v>80</v>
      </c>
      <c r="G4" s="8">
        <f t="shared" si="0"/>
        <v>800</v>
      </c>
    </row>
    <row r="5" spans="1:7" x14ac:dyDescent="0.3">
      <c r="A5" s="7">
        <v>46026</v>
      </c>
      <c r="B5" s="2" t="s">
        <v>7</v>
      </c>
      <c r="C5" s="2" t="s">
        <v>10</v>
      </c>
      <c r="D5" s="2" t="s">
        <v>18</v>
      </c>
      <c r="E5" s="3" t="s">
        <v>21</v>
      </c>
      <c r="F5" s="5">
        <v>150</v>
      </c>
      <c r="G5" s="8">
        <f t="shared" si="0"/>
        <v>750</v>
      </c>
    </row>
    <row r="6" spans="1:7" x14ac:dyDescent="0.3">
      <c r="A6" s="7">
        <v>46027</v>
      </c>
      <c r="B6" s="2" t="s">
        <v>13</v>
      </c>
      <c r="C6" s="2" t="s">
        <v>14</v>
      </c>
      <c r="D6" s="2" t="s">
        <v>15</v>
      </c>
      <c r="E6" s="3" t="s">
        <v>22</v>
      </c>
      <c r="F6" s="5">
        <v>3500</v>
      </c>
      <c r="G6" s="8">
        <f t="shared" si="0"/>
        <v>3500</v>
      </c>
    </row>
    <row r="7" spans="1:7" x14ac:dyDescent="0.3">
      <c r="A7" s="7">
        <v>46028</v>
      </c>
      <c r="B7" s="2" t="s">
        <v>8</v>
      </c>
      <c r="C7" s="2" t="s">
        <v>11</v>
      </c>
      <c r="D7" s="2" t="s">
        <v>17</v>
      </c>
      <c r="E7" s="3" t="s">
        <v>23</v>
      </c>
      <c r="F7" s="5">
        <v>80</v>
      </c>
      <c r="G7" s="8">
        <f t="shared" si="0"/>
        <v>640</v>
      </c>
    </row>
    <row r="8" spans="1:7" x14ac:dyDescent="0.3">
      <c r="A8" s="7">
        <v>46029</v>
      </c>
      <c r="B8" s="2" t="s">
        <v>9</v>
      </c>
      <c r="C8" s="2" t="s">
        <v>12</v>
      </c>
      <c r="D8" s="2" t="s">
        <v>16</v>
      </c>
      <c r="E8" s="3" t="s">
        <v>19</v>
      </c>
      <c r="F8" s="5">
        <v>900</v>
      </c>
      <c r="G8" s="8">
        <f t="shared" si="0"/>
        <v>1800</v>
      </c>
    </row>
    <row r="9" spans="1:7" x14ac:dyDescent="0.3">
      <c r="A9" s="7">
        <v>46030</v>
      </c>
      <c r="B9" s="2" t="s">
        <v>7</v>
      </c>
      <c r="C9" s="2" t="s">
        <v>10</v>
      </c>
      <c r="D9" s="2" t="s">
        <v>15</v>
      </c>
      <c r="E9" s="3" t="s">
        <v>20</v>
      </c>
      <c r="F9" s="5">
        <v>3500</v>
      </c>
      <c r="G9" s="8">
        <f t="shared" si="0"/>
        <v>10500</v>
      </c>
    </row>
    <row r="10" spans="1:7" x14ac:dyDescent="0.3">
      <c r="A10" s="7">
        <v>46031</v>
      </c>
      <c r="B10" s="2" t="s">
        <v>13</v>
      </c>
      <c r="C10" s="2" t="s">
        <v>14</v>
      </c>
      <c r="D10" s="2" t="s">
        <v>18</v>
      </c>
      <c r="E10" s="3" t="s">
        <v>24</v>
      </c>
      <c r="F10" s="5">
        <v>150</v>
      </c>
      <c r="G10" s="8">
        <f t="shared" si="0"/>
        <v>600</v>
      </c>
    </row>
    <row r="11" spans="1:7" x14ac:dyDescent="0.3">
      <c r="A11" s="7">
        <v>46032</v>
      </c>
      <c r="B11" s="2" t="s">
        <v>8</v>
      </c>
      <c r="C11" s="2" t="s">
        <v>11</v>
      </c>
      <c r="D11" s="2" t="s">
        <v>15</v>
      </c>
      <c r="E11" s="3" t="s">
        <v>22</v>
      </c>
      <c r="F11" s="5">
        <v>3500</v>
      </c>
      <c r="G11" s="8">
        <f t="shared" si="0"/>
        <v>3500</v>
      </c>
    </row>
    <row r="12" spans="1:7" x14ac:dyDescent="0.3">
      <c r="A12" s="7">
        <v>46033</v>
      </c>
      <c r="B12" s="2" t="s">
        <v>9</v>
      </c>
      <c r="C12" s="2" t="s">
        <v>12</v>
      </c>
      <c r="D12" s="2" t="s">
        <v>17</v>
      </c>
      <c r="E12" s="3" t="s">
        <v>25</v>
      </c>
      <c r="F12" s="5">
        <v>80</v>
      </c>
      <c r="G12" s="8">
        <f t="shared" si="0"/>
        <v>1200</v>
      </c>
    </row>
    <row r="13" spans="1:7" x14ac:dyDescent="0.3">
      <c r="A13" s="7">
        <v>46034</v>
      </c>
      <c r="B13" s="2" t="s">
        <v>7</v>
      </c>
      <c r="C13" s="2" t="s">
        <v>10</v>
      </c>
      <c r="D13" s="2" t="s">
        <v>16</v>
      </c>
      <c r="E13" s="3" t="s">
        <v>24</v>
      </c>
      <c r="F13" s="5">
        <v>900</v>
      </c>
      <c r="G13" s="8">
        <f t="shared" si="0"/>
        <v>3600</v>
      </c>
    </row>
    <row r="14" spans="1:7" x14ac:dyDescent="0.3">
      <c r="A14" s="7">
        <v>46035</v>
      </c>
      <c r="B14" s="2" t="s">
        <v>13</v>
      </c>
      <c r="C14" s="2" t="s">
        <v>14</v>
      </c>
      <c r="D14" s="2" t="s">
        <v>15</v>
      </c>
      <c r="E14" s="3" t="s">
        <v>19</v>
      </c>
      <c r="F14" s="5">
        <v>3500</v>
      </c>
      <c r="G14" s="8">
        <f t="shared" si="0"/>
        <v>7000</v>
      </c>
    </row>
    <row r="15" spans="1:7" x14ac:dyDescent="0.3">
      <c r="A15" s="7">
        <v>46036</v>
      </c>
      <c r="B15" s="2" t="s">
        <v>8</v>
      </c>
      <c r="C15" s="2" t="s">
        <v>11</v>
      </c>
      <c r="D15" s="2" t="s">
        <v>18</v>
      </c>
      <c r="E15" s="3" t="s">
        <v>26</v>
      </c>
      <c r="F15" s="5">
        <v>150</v>
      </c>
      <c r="G15" s="8">
        <f t="shared" si="0"/>
        <v>900</v>
      </c>
    </row>
    <row r="16" spans="1:7" x14ac:dyDescent="0.3">
      <c r="A16" s="13">
        <v>46037</v>
      </c>
      <c r="B16" s="14" t="s">
        <v>9</v>
      </c>
      <c r="C16" s="14" t="s">
        <v>12</v>
      </c>
      <c r="D16" s="14" t="s">
        <v>15</v>
      </c>
      <c r="E16" s="15" t="s">
        <v>22</v>
      </c>
      <c r="F16" s="16">
        <v>3500</v>
      </c>
      <c r="G16" s="17">
        <f t="shared" si="0"/>
        <v>3500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Planilha2</vt:lpstr>
      <vt:lpstr>Dashboard</vt:lpstr>
      <vt:lpstr>Planilha4</vt:lpstr>
      <vt:lpstr>Planilha5</vt:lpstr>
      <vt:lpstr>Planilha6</vt:lpstr>
      <vt:lpstr>Planilha7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Gomes</dc:creator>
  <cp:lastModifiedBy>Aline Gomes</cp:lastModifiedBy>
  <cp:lastPrinted>2026-06-26T22:11:23Z</cp:lastPrinted>
  <dcterms:created xsi:type="dcterms:W3CDTF">2026-06-23T23:43:34Z</dcterms:created>
  <dcterms:modified xsi:type="dcterms:W3CDTF">2026-06-26T22:46:55Z</dcterms:modified>
</cp:coreProperties>
</file>